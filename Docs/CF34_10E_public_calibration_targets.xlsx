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e899b9c17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9763092b134a27"/>
    <x:sheet xmlns:r="http://schemas.openxmlformats.org/officeDocument/2006/relationships" name="Calibration Targets" sheetId="2" r:id="Re649d200166849d7"/>
    <x:sheet xmlns:r="http://schemas.openxmlformats.org/officeDocument/2006/relationships" name="EDB Variant Data" sheetId="3" r:id="Rd35062eb44b34452"/>
    <x:sheet xmlns:r="http://schemas.openxmlformats.org/officeDocument/2006/relationships" name="Pedigree and Plan" sheetId="4" r:id="Rc4945c4eedb948ad"/>
    <x:sheet xmlns:r="http://schemas.openxmlformats.org/officeDocument/2006/relationships" name="Sources" sheetId="5" r:id="R3d762002e58541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b/>
      <x:sz val="12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200" fontId="0" fillId="0" borderId="5" xfId="0" applyNumberFormat="1" applyFont="1" applyFill="1" applyBorder="1"/>
    <x:xf numFmtId="200" fontId="0" fillId="0" borderId="1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0" fontId="0" fillId="0" borderId="15" xfId="0" applyNumberFormat="1" applyFont="1" applyFill="1" applyBorder="1"/>
    <x:xf numFmtId="200" fontId="0" fillId="0" borderId="7" xfId="0" applyNumberFormat="1" applyFont="1" applyFill="1" applyBorder="1"/>
    <x:xf numFmtId="0" fontId="2" fillId="3" borderId="16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200" fontId="0" fillId="0" borderId="17" xfId="0" applyNumberFormat="1" applyFont="1" applyFill="1" applyBorder="1"/>
    <x:xf numFmtId="200" fontId="0" fillId="0" borderId="13" xfId="0" applyNumberFormat="1" applyFont="1" applyFill="1" applyBorder="1"/>
    <x:xf numFmtId="0" fontId="0" fillId="6" borderId="2" xfId="0" applyNumberFormat="1" applyFont="1" applyFill="1" applyBorder="1" applyAlignment="1">
      <x:alignment horizontal="center"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6" borderId="8" xfId="0" applyNumberFormat="1" applyFont="1" applyFill="1" applyBorder="1" applyAlignment="1">
      <x:alignment horizontal="center"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16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16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d31d7232a4919" /><Relationship Type="http://schemas.openxmlformats.org/officeDocument/2006/relationships/theme" Target="/xl/theme/theme1.xml" Id="R2b2da8f8747742be" /><Relationship Type="http://schemas.openxmlformats.org/officeDocument/2006/relationships/sharedStrings" Target="/xl/sharedStrings.xml" Id="R4fe17559cd2c45a0" /><Relationship Type="http://schemas.openxmlformats.org/officeDocument/2006/relationships/worksheet" Target="/xl/worksheets/sheet1.xml" Id="R229763092b134a27" /><Relationship Type="http://schemas.openxmlformats.org/officeDocument/2006/relationships/worksheet" Target="/xl/worksheets/sheet2.xml" Id="Re649d200166849d7" /><Relationship Type="http://schemas.openxmlformats.org/officeDocument/2006/relationships/worksheet" Target="/xl/worksheets/sheet3.xml" Id="Rd35062eb44b34452" /><Relationship Type="http://schemas.openxmlformats.org/officeDocument/2006/relationships/worksheet" Target="/xl/worksheets/sheet4.xml" Id="Rc4945c4eedb948ad" /><Relationship Type="http://schemas.openxmlformats.org/officeDocument/2006/relationships/worksheet" Target="/xl/worksheets/sheet5.xml" Id="R3d762002e585418d" /></Relationships>
</file>

<file path=xl/tables/table1.xml><?xml version="1.0" encoding="utf-8"?>
<x:table xmlns:x="http://schemas.openxmlformats.org/spreadsheetml/2006/main" id="1" name="CalibrationTargetsTable" displayName="CalibrationTargetsTable" ref="A3:V10" headerRowCount="1">
  <x:tableColumns count="22">
    <x:tableColumn id="1" name="Target ID"/>
    <x:tableColumn id="2" name="Role"/>
    <x:tableColumn id="3" name="Operating point"/>
    <x:tableColumn id="4" name="Variant / UID"/>
    <x:tableColumn id="5" name="Power setting (% Foo)"/>
    <x:tableColumn id="6" name="Thrust basis"/>
    <x:tableColumn id="7" name="Thrust target (kN)"/>
    <x:tableColumn id="8" name="Fuel flow (kg/s)"/>
    <x:tableColumn id="9" name="Derived TSFC (g/kN-s)"/>
    <x:tableColumn id="10" name="BPR"/>
    <x:tableColumn id="11" name="OPR / PR"/>
    <x:tableColumn id="12" name="Ambient P min (kPa)"/>
    <x:tableColumn id="13" name="Ambient P max (kPa)"/>
    <x:tableColumn id="14" name="Ambient T min (K)"/>
    <x:tableColumn id="15" name="Ambient T max (K)"/>
    <x:tableColumn id="16" name="External bleed (%)"/>
    <x:tableColumn id="17" name="Accessory load (kW)"/>
    <x:tableColumn id="18" name="Pedigree"/>
    <x:tableColumn id="19" name="Recommended use"/>
    <x:tableColumn id="20" name="Source file"/>
    <x:tableColumn id="21" name="Source URL"/>
    <x:tableColumn id="2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DBVariantTable" displayName="EDBVariantTable" ref="A3:U7" headerRowCount="1">
  <x:tableColumns count="21">
    <x:tableColumn id="1" name="UID"/>
    <x:tableColumn id="2" name="Engine identification"/>
    <x:tableColumn id="3" name="Combustor"/>
    <x:tableColumn id="4" name="Block / configuration"/>
    <x:tableColumn id="5" name="BPR"/>
    <x:tableColumn id="6" name="Pressure ratio"/>
    <x:tableColumn id="7" name="Rated thrust (kN)"/>
    <x:tableColumn id="8" name="Fuel TO (kg/s)"/>
    <x:tableColumn id="9" name="Fuel CO (kg/s)"/>
    <x:tableColumn id="10" name="Fuel APP (kg/s)"/>
    <x:tableColumn id="11" name="Fuel IDLE (kg/s)"/>
    <x:tableColumn id="12" name="P min (kPa)"/>
    <x:tableColumn id="13" name="P max (kPa)"/>
    <x:tableColumn id="14" name="T min (K)"/>
    <x:tableColumn id="15" name="T max (K)"/>
    <x:tableColumn id="16" name="Humidity min"/>
    <x:tableColumn id="17" name="Humidity max"/>
    <x:tableColumn id="18" name="Engine / report"/>
    <x:tableColumn id="19" name="Primary role"/>
    <x:tableColumn id="20" name="Source file"/>
    <x:tableColumn id="2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edigreePlanTable" displayName="PedigreePlanTable" ref="A3:H15" headerRowCount="1">
  <x:tableColumns count="8">
    <x:tableColumn id="1" name="Quantity / capability"/>
    <x:tableColumn id="2" name="Public value or range"/>
    <x:tableColumn id="3" name="Pedigree"/>
    <x:tableColumn id="4" name="Current v0.5 status"/>
    <x:tableColumn id="5" name="v0.6 action"/>
    <x:tableColumn id="6" name="Calibration role"/>
    <x:tableColumn id="7" name="Priority"/>
    <x:tableColumn id="8" name="Key caution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3:E10" headerRowCount="1">
  <x:tableColumns count="5">
    <x:tableColumn id="1" name="Source"/>
    <x:tableColumn id="2" name="Type"/>
    <x:tableColumn id="3" name="Coverage"/>
    <x:tableColumn id="4" name="Local file / identifier"/>
    <x:tableColumn id="5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83a3f0667246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1afd9ebc7b4b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2b6498052c4e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5d10a4b77a45e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20" hidden="0" customWidth="1"/>
    <x:col min="4" max="4" width="22" hidden="0" customWidth="1"/>
    <x:col min="5" max="5" width="30" hidden="0" customWidth="1"/>
    <x:col min="6" max="6" width="22" hidden="0" customWidth="1"/>
    <x:col min="7" max="7" width="26" hidden="0" customWidth="1"/>
    <x:col min="8" max="8" width="16" hidden="0" customWidth="1"/>
  </x:cols>
  <x:sheetData>
    <x:row r="1" ht="28" customHeight="1">
      <x:c r="A1" s="5" t="str">
        <x:v>CF34-10E Public Calibration Target Package</x:v>
      </x:c>
      <x:c r="B1" s="5"/>
      <x:c r="C1" s="5"/>
      <x:c r="D1" s="5"/>
      <x:c r="E1" s="5"/>
      <x:c r="F1" s="5"/>
      <x:c r="G1" s="5"/>
      <x:c r="H1" s="5"/>
    </x:row>
    <x:row r="3">
      <x:c r="A3" s="20" t="str">
        <x:v>Primary engine variant</x:v>
      </x:c>
      <x:c r="B3" s="21" t="str">
        <x:v>CF34-10E7</x:v>
      </x:c>
      <x:c r="D3" s="35" t="str">
        <x:v>What the uploaded EDB adds</x:v>
      </x:c>
      <x:c r="E3" s="35"/>
      <x:c r="F3" s="35"/>
      <x:c r="G3" s="35"/>
      <x:c r="H3" s="35"/>
    </x:row>
    <x:row r="4">
      <x:c r="A4" s="22" t="str">
        <x:v>Primary ICAO EDB record</x:v>
      </x:c>
      <x:c r="B4" s="23" t="str">
        <x:v>UID 10GE133 / 2253M21 / Block 2</x:v>
      </x:c>
      <x:c r="D4" s="44" t="str">
        <x:v>Four certified LTO fuel-flow points are now available for the CF34-10E7: 100%, 85%, 30%, and 7% of rated thrust. The records also report a 5.09 bypass ratio and 27.2-27.3 pressure ratio at the ICAO rated point, distinct from GE's public maximum values of 5.4 and 29.0. Treat that difference as an off-design target, not a contradiction.</x:v>
      </x:c>
      <x:c r="E4" s="44"/>
      <x:c r="F4" s="44"/>
      <x:c r="G4" s="44"/>
      <x:c r="H4" s="44"/>
    </x:row>
    <x:row r="5">
      <x:c r="A5" s="22" t="str">
        <x:v>Rated normal takeoff thrust (kN)</x:v>
      </x:c>
      <x:c r="B5" s="32" t="n">
        <x:v>83.7</x:v>
      </x:c>
      <x:c r="D5" s="44"/>
      <x:c r="E5" s="44"/>
      <x:c r="F5" s="44"/>
      <x:c r="G5" s="44"/>
      <x:c r="H5" s="44"/>
    </x:row>
    <x:row r="6">
      <x:c r="A6" s="22" t="str">
        <x:v>Maximum takeoff with APR (kN)</x:v>
      </x:c>
      <x:c r="B6" s="32" t="n">
        <x:v>90.5657920867</x:v>
      </x:c>
      <x:c r="D6" s="44"/>
      <x:c r="E6" s="44"/>
      <x:c r="F6" s="44"/>
      <x:c r="G6" s="44"/>
      <x:c r="H6" s="44"/>
    </x:row>
    <x:row r="7">
      <x:c r="A7" s="22" t="str">
        <x:v>Public max BPR / OPR</x:v>
      </x:c>
      <x:c r="B7" s="23" t="str">
        <x:v>5.4 / 29.0</x:v>
      </x:c>
      <x:c r="D7" s="44"/>
      <x:c r="E7" s="44"/>
      <x:c r="F7" s="44"/>
      <x:c r="G7" s="44"/>
      <x:c r="H7" s="44"/>
    </x:row>
    <x:row r="8">
      <x:c r="A8" s="24" t="str">
        <x:v>EDB rated-point BPR / PR</x:v>
      </x:c>
      <x:c r="B8" s="25" t="str">
        <x:v>5.09 / 27.3</x:v>
      </x:c>
      <x:c r="D8" s="44"/>
      <x:c r="E8" s="44"/>
      <x:c r="F8" s="44"/>
      <x:c r="G8" s="44"/>
      <x:c r="H8" s="44"/>
    </x:row>
    <x:row r="10">
      <x:c r="A10" s="35" t="str">
        <x:v>Recommended calibration hierarchy</x:v>
      </x:c>
      <x:c r="B10" s="35"/>
      <x:c r="C10" s="35"/>
      <x:c r="D10" s="35"/>
      <x:c r="E10" s="35"/>
      <x:c r="F10" s="35"/>
      <x:c r="G10" s="35"/>
      <x:c r="H10" s="35"/>
    </x:row>
    <x:row r="11">
      <x:c r="A11" s="127" t="str">
        <x:v>#</x:v>
      </x:c>
      <x:c r="B11" s="128" t="str">
        <x:v>Calibration layer</x:v>
      </x:c>
      <x:c r="C11" s="128" t="str">
        <x:v>Operating point</x:v>
      </x:c>
      <x:c r="D11" s="128" t="str">
        <x:v>Target</x:v>
      </x:c>
      <x:c r="E11" s="128" t="str">
        <x:v>Purpose</x:v>
      </x:c>
      <x:c r="F11" s="128" t="str">
        <x:v>Primary source</x:v>
      </x:c>
      <x:c r="G11" s="128" t="str">
        <x:v>Pedigree</x:v>
      </x:c>
      <x:c r="H11" s="129" t="str">
        <x:v>Role</x:v>
      </x:c>
    </x:row>
    <x:row r="12" ht="36" customHeight="1">
      <x:c r="A12" s="141" t="n">
        <x:v>1</x:v>
      </x:c>
      <x:c r="B12" s="142" t="str">
        <x:v>Design-point scale</x:v>
      </x:c>
      <x:c r="C12" s="142" t="str">
        <x:v>Max takeoff with APR</x:v>
      </x:c>
      <x:c r="D12" s="142" t="str">
        <x:v>90.566 kN</x:v>
      </x:c>
      <x:c r="E12" s="142" t="str">
        <x:v>Keep as high-rating thrust anchor</x:v>
      </x:c>
      <x:c r="F12" s="142" t="str">
        <x:v>TCDS / GE</x:v>
      </x:c>
      <x:c r="G12" s="142" t="str">
        <x:v>Publicly reported</x:v>
      </x:c>
      <x:c r="H12" s="143" t="str">
        <x:v>Calibration</x:v>
      </x:c>
    </x:row>
    <x:row r="13" ht="36" customHeight="1">
      <x:c r="A13" s="144" t="n">
        <x:v>2</x:v>
      </x:c>
      <x:c r="B13" s="145" t="str">
        <x:v>Normal takeoff</x:v>
      </x:c>
      <x:c r="C13" s="145" t="str">
        <x:v>100% Foo</x:v>
      </x:c>
      <x:c r="D13" s="145" t="str">
        <x:v>83.7 kN, 0.866 kg/s</x:v>
      </x:c>
      <x:c r="E13" s="145" t="str">
        <x:v>Primary EDB fuel-flow anchor</x:v>
      </x:c>
      <x:c r="F13" s="145" t="str">
        <x:v>UID 10GE133</x:v>
      </x:c>
      <x:c r="G13" s="145" t="str">
        <x:v>Publicly reported</x:v>
      </x:c>
      <x:c r="H13" s="146" t="str">
        <x:v>Calibration</x:v>
      </x:c>
    </x:row>
    <x:row r="14" ht="36" customHeight="1">
      <x:c r="A14" s="144" t="n">
        <x:v>3</x:v>
      </x:c>
      <x:c r="B14" s="145" t="str">
        <x:v>Climb-out</x:v>
      </x:c>
      <x:c r="C14" s="145" t="str">
        <x:v>85% Foo</x:v>
      </x:c>
      <x:c r="D14" s="145" t="str">
        <x:v>71.145 kN, 0.714 kg/s</x:v>
      </x:c>
      <x:c r="E14" s="145" t="str">
        <x:v>Off-design fuel-flow anchor</x:v>
      </x:c>
      <x:c r="F14" s="145" t="str">
        <x:v>UID 10GE133</x:v>
      </x:c>
      <x:c r="G14" s="145" t="str">
        <x:v>Reported + derived thrust</x:v>
      </x:c>
      <x:c r="H14" s="146" t="str">
        <x:v>Calibration</x:v>
      </x:c>
    </x:row>
    <x:row r="15" ht="36" customHeight="1">
      <x:c r="A15" s="144" t="n">
        <x:v>4</x:v>
      </x:c>
      <x:c r="B15" s="145" t="str">
        <x:v>Approach</x:v>
      </x:c>
      <x:c r="C15" s="145" t="str">
        <x:v>30% Foo</x:v>
      </x:c>
      <x:c r="D15" s="145" t="str">
        <x:v>25.110 kN, 0.237 kg/s</x:v>
      </x:c>
      <x:c r="E15" s="145" t="str">
        <x:v>Low-power matching target</x:v>
      </x:c>
      <x:c r="F15" s="145" t="str">
        <x:v>UID 10GE133</x:v>
      </x:c>
      <x:c r="G15" s="145" t="str">
        <x:v>Reported + derived thrust</x:v>
      </x:c>
      <x:c r="H15" s="146" t="str">
        <x:v>Calibration</x:v>
      </x:c>
    </x:row>
    <x:row r="16" ht="36" customHeight="1">
      <x:c r="A16" s="147" t="n">
        <x:v>5</x:v>
      </x:c>
      <x:c r="B16" s="148" t="str">
        <x:v>Idle</x:v>
      </x:c>
      <x:c r="C16" s="148" t="str">
        <x:v>7% Foo</x:v>
      </x:c>
      <x:c r="D16" s="148" t="str">
        <x:v>5.859 kN, 0.087 kg/s</x:v>
      </x:c>
      <x:c r="E16" s="148" t="str">
        <x:v>Idle-flow matching target</x:v>
      </x:c>
      <x:c r="F16" s="148" t="str">
        <x:v>UID 10GE133</x:v>
      </x:c>
      <x:c r="G16" s="148" t="str">
        <x:v>Reported + derived thrust</x:v>
      </x:c>
      <x:c r="H16" s="149" t="str">
        <x:v>Validation</x:v>
      </x:c>
    </x:row>
    <x:row r="17" ht="36" customHeight="1">
      <x:c r="A17" s="147" t="n">
        <x:v>6</x:v>
      </x:c>
      <x:c r="B17" s="148" t="str">
        <x:v>Cross-configuration envelope</x:v>
      </x:c>
      <x:c r="C17" s="148" t="str">
        <x:v>Alternate combustors</x:v>
      </x:c>
      <x:c r="D17" s="148" t="str">
        <x:v>EDB min/max bands</x:v>
      </x:c>
      <x:c r="E17" s="148" t="str">
        <x:v>Use as uncertainty band</x:v>
      </x:c>
      <x:c r="F17" s="148" t="str">
        <x:v>UIDs 11GE146, 8GE119</x:v>
      </x:c>
      <x:c r="G17" s="148" t="str">
        <x:v>Publicly reported</x:v>
      </x:c>
      <x:c r="H17" s="149" t="str">
        <x:v>Validation</x:v>
      </x:c>
    </x:row>
    <x:row r="18">
      <x:c r="A18" s="40"/>
      <x:c r="B18" s="40"/>
      <x:c r="C18" s="40"/>
      <x:c r="D18" s="40"/>
      <x:c r="E18" s="40"/>
      <x:c r="F18" s="40"/>
      <x:c r="G18" s="40"/>
      <x:c r="H18" s="40"/>
    </x:row>
    <x:row r="19" ht="28" customHeight="1">
      <x:c r="A19" s="40"/>
      <x:c r="B19" s="40"/>
      <x:c r="C19" s="40"/>
      <x:c r="D19" s="40"/>
      <x:c r="E19" s="40"/>
      <x:c r="F19" s="40"/>
      <x:c r="G19" s="40"/>
      <x:c r="H19" s="40"/>
    </x:row>
    <x:row r="20" ht="28" customHeight="1">
      <x:c r="A20" s="40"/>
      <x:c r="B20" s="40"/>
      <x:c r="C20" s="40"/>
      <x:c r="D20" s="40"/>
      <x:c r="E20" s="40"/>
      <x:c r="F20" s="40"/>
      <x:c r="G20" s="40"/>
      <x:c r="H20" s="40"/>
    </x:row>
  </x:sheetData>
  <x:mergeCells>
    <x:mergeCell ref="A1:H1"/>
    <x:mergeCell ref="D3:H3"/>
    <x:mergeCell ref="D4:H8"/>
    <x:mergeCell ref="A10:H10"/>
    <x:mergeCell ref="A18:H19"/>
    <x:mergeCell ref="A19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8" hidden="0" customWidth="1"/>
    <x:col min="4" max="4" width="22" hidden="0" customWidth="1"/>
    <x:col min="5" max="5" width="14" hidden="0" customWidth="1"/>
    <x:col min="6" max="6" width="19" hidden="0" customWidth="1"/>
    <x:col min="7" max="7" width="14" hidden="0" customWidth="1"/>
    <x:col min="8" max="8" width="14" hidden="0" customWidth="1"/>
    <x:col min="9" max="9" width="16" hidden="0" customWidth="1"/>
    <x:col min="10" max="10" width="10" hidden="0" customWidth="1"/>
    <x:col min="11" max="11" width="10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2" hidden="0" customWidth="1"/>
    <x:col min="17" max="17" width="13" hidden="0" customWidth="1"/>
    <x:col min="18" max="18" width="24" hidden="0" customWidth="1"/>
    <x:col min="19" max="19" width="24" hidden="0" customWidth="1"/>
    <x:col min="20" max="20" width="42" hidden="0" customWidth="1"/>
    <x:col min="21" max="21" width="58" hidden="0" customWidth="1"/>
    <x:col min="22" max="22" width="44" hidden="0" customWidth="1"/>
  </x:cols>
  <x:sheetData>
    <x:row r="1">
      <x:c r="A1" s="5" t="str">
        <x:v>CF34-10E Multi-Point Calibration Targets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3">
      <x:c r="A3" s="85" t="str">
        <x:v>Target ID</x:v>
      </x:c>
      <x:c r="B3" s="85" t="str">
        <x:v>Role</x:v>
      </x:c>
      <x:c r="C3" s="85" t="str">
        <x:v>Operating point</x:v>
      </x:c>
      <x:c r="D3" s="85" t="str">
        <x:v>Variant / UID</x:v>
      </x:c>
      <x:c r="E3" s="85" t="str">
        <x:v>Power setting (% Foo)</x:v>
      </x:c>
      <x:c r="F3" s="85" t="str">
        <x:v>Thrust basis</x:v>
      </x:c>
      <x:c r="G3" s="85" t="str">
        <x:v>Thrust target (kN)</x:v>
      </x:c>
      <x:c r="H3" s="85" t="str">
        <x:v>Fuel flow (kg/s)</x:v>
      </x:c>
      <x:c r="I3" s="85" t="str">
        <x:v>Derived TSFC (g/kN-s)</x:v>
      </x:c>
      <x:c r="J3" s="85" t="str">
        <x:v>BPR</x:v>
      </x:c>
      <x:c r="K3" s="85" t="str">
        <x:v>OPR / PR</x:v>
      </x:c>
      <x:c r="L3" s="85" t="str">
        <x:v>Ambient P min (kPa)</x:v>
      </x:c>
      <x:c r="M3" s="85" t="str">
        <x:v>Ambient P max (kPa)</x:v>
      </x:c>
      <x:c r="N3" s="85" t="str">
        <x:v>Ambient T min (K)</x:v>
      </x:c>
      <x:c r="O3" s="85" t="str">
        <x:v>Ambient T max (K)</x:v>
      </x:c>
      <x:c r="P3" s="85" t="str">
        <x:v>External bleed (%)</x:v>
      </x:c>
      <x:c r="Q3" s="85" t="str">
        <x:v>Accessory load (kW)</x:v>
      </x:c>
      <x:c r="R3" s="85" t="str">
        <x:v>Pedigree</x:v>
      </x:c>
      <x:c r="S3" s="85" t="str">
        <x:v>Recommended use</x:v>
      </x:c>
      <x:c r="T3" s="85" t="str">
        <x:v>Source file</x:v>
      </x:c>
      <x:c r="U3" s="85" t="str">
        <x:v>Source URL</x:v>
      </x:c>
      <x:c r="V3" s="85" t="str">
        <x:v>Notes</x:v>
      </x:c>
    </x:row>
    <x:row r="4">
      <x:c r="A4" s="91" t="str">
        <x:v>RATING-APR</x:v>
      </x:c>
      <x:c r="B4" s="64" t="str">
        <x:v>Calibration</x:v>
      </x:c>
      <x:c r="C4" s="64" t="str">
        <x:v>Maximum takeoff with APR</x:v>
      </x:c>
      <x:c r="D4" s="64" t="str">
        <x:v>CF34-10E7</x:v>
      </x:c>
      <x:c r="E4" s="64"/>
      <x:c r="F4" s="64" t="str">
        <x:v>Direct TCDS rating</x:v>
      </x:c>
      <x:c r="G4" s="97" t="n">
        <x:v>90.5657920867</x:v>
      </x:c>
      <x:c r="H4" s="97"/>
      <x:c r="I4" s="97"/>
      <x:c r="J4" s="103" t="n">
        <x:v>5.4</x:v>
      </x:c>
      <x:c r="K4" s="103" t="n">
        <x:v>29</x:v>
      </x:c>
      <x:c r="L4" s="97" t="n">
        <x:v>101.325</x:v>
      </x:c>
      <x:c r="M4" s="97" t="n">
        <x:v>101.325</x:v>
      </x:c>
      <x:c r="N4" s="97" t="n">
        <x:v>288.15</x:v>
      </x:c>
      <x:c r="O4" s="97" t="n">
        <x:v>303.15</x:v>
      </x:c>
      <x:c r="P4" s="97" t="n">
        <x:v>0</x:v>
      </x:c>
      <x:c r="Q4" s="97" t="n">
        <x:v>0</x:v>
      </x:c>
      <x:c r="R4" s="64" t="str">
        <x:v>PUBLICLY REPORTED</x:v>
      </x:c>
      <x:c r="S4" s="64" t="str">
        <x:v>High-rating thrust anchor</x:v>
      </x:c>
      <x:c r="T4" s="64" t="str">
        <x:v>EASA.IM.E.021 Issue 06</x:v>
      </x:c>
      <x:c r="U4" s="64" t="str">
        <x:v>https://www.easa.europa.eu/en/document-library/type-certificates/engine-cs-e/easaime021-ge-cf34-10e-series-engines</x:v>
      </x:c>
      <x:c r="V4" s="65" t="str">
        <x:v>90.57 kN / 20,360 lbf; flat-rated through 30 C. BPR and OPR are public maximum values.</x:v>
      </x:c>
    </x:row>
    <x:row r="5">
      <x:c r="A5" s="92" t="str">
        <x:v>EDB-TO</x:v>
      </x:c>
      <x:c r="B5" s="67" t="str">
        <x:v>Calibration</x:v>
      </x:c>
      <x:c r="C5" s="67" t="str">
        <x:v>ICAO takeoff</x:v>
      </x:c>
      <x:c r="D5" s="67" t="str">
        <x:v>CF34-10E7 / 10GE133</x:v>
      </x:c>
      <x:c r="E5" s="67" t="n">
        <x:v>100</x:v>
      </x:c>
      <x:c r="F5" s="67" t="str">
        <x:v>Direct EDB rated thrust</x:v>
      </x:c>
      <x:c r="G5" s="98" t="n">
        <x:v>83.7</x:v>
      </x:c>
      <x:c r="H5" s="98" t="n">
        <x:v>0.866</x:v>
      </x:c>
      <x:c r="I5" s="98" t="n">
        <x:f>H5/G5*1000</x:f>
        <x:v>10.346475507765831</x:v>
      </x:c>
      <x:c r="J5" s="104" t="n">
        <x:v>5.09</x:v>
      </x:c>
      <x:c r="K5" s="104" t="n">
        <x:v>27.3</x:v>
      </x:c>
      <x:c r="L5" s="98" t="n">
        <x:v>97.2</x:v>
      </x:c>
      <x:c r="M5" s="98" t="n">
        <x:v>97.9</x:v>
      </x:c>
      <x:c r="N5" s="98" t="n">
        <x:v>296</x:v>
      </x:c>
      <x:c r="O5" s="98" t="n">
        <x:v>300</x:v>
      </x:c>
      <x:c r="P5" s="98" t="n">
        <x:v>0</x:v>
      </x:c>
      <x:c r="Q5" s="98" t="n">
        <x:v>0</x:v>
      </x:c>
      <x:c r="R5" s="67" t="str">
        <x:v>PUBLICLY REPORTED</x:v>
      </x:c>
      <x:c r="S5" s="67" t="str">
        <x:v>Primary normal-takeoff fuel-flow target</x:v>
      </x:c>
      <x:c r="T5" s="67" t="str">
        <x:v>10GE133-CF34-10E7, 2253M21 Combustor (22.01.2021).pdf</x:v>
      </x:c>
      <x:c r="U5" s="67" t="str">
        <x:v>https://www.easa.europa.eu/en/domains/environment/icao-aircraft-engine-emissions-databank</x:v>
      </x:c>
      <x:c r="V5" s="68" t="str">
        <x:v>Primary Block 2 / 2253M21 dataset; engine 994-251/1.</x:v>
      </x:c>
    </x:row>
    <x:row r="6">
      <x:c r="A6" s="92" t="str">
        <x:v>EDB-CO</x:v>
      </x:c>
      <x:c r="B6" s="67" t="str">
        <x:v>Calibration</x:v>
      </x:c>
      <x:c r="C6" s="67" t="str">
        <x:v>ICAO climb-out</x:v>
      </x:c>
      <x:c r="D6" s="67" t="str">
        <x:v>CF34-10E7 / 10GE133</x:v>
      </x:c>
      <x:c r="E6" s="67" t="n">
        <x:v>85</x:v>
      </x:c>
      <x:c r="F6" s="67" t="str">
        <x:v>Derived as 85% of Foo</x:v>
      </x:c>
      <x:c r="G6" s="98" t="n">
        <x:f>$G$5*E6/100</x:f>
        <x:v>71.145</x:v>
      </x:c>
      <x:c r="H6" s="98" t="n">
        <x:v>0.714</x:v>
      </x:c>
      <x:c r="I6" s="98" t="n">
        <x:f>H6/G6*1000</x:f>
        <x:v>10.03584229390681</x:v>
      </x:c>
      <x:c r="J6" s="104" t="n">
        <x:v>5.09</x:v>
      </x:c>
      <x:c r="K6" s="104" t="n">
        <x:v>27.3</x:v>
      </x:c>
      <x:c r="L6" s="98" t="n">
        <x:v>97.2</x:v>
      </x:c>
      <x:c r="M6" s="98" t="n">
        <x:v>97.9</x:v>
      </x:c>
      <x:c r="N6" s="98" t="n">
        <x:v>296</x:v>
      </x:c>
      <x:c r="O6" s="98" t="n">
        <x:v>300</x:v>
      </x:c>
      <x:c r="P6" s="98" t="n">
        <x:v>0</x:v>
      </x:c>
      <x:c r="Q6" s="98" t="n">
        <x:v>0</x:v>
      </x:c>
      <x:c r="R6" s="67" t="str">
        <x:v>REPORTED FUEL + DERIVED THRUST</x:v>
      </x:c>
      <x:c r="S6" s="67" t="str">
        <x:v>Primary off-design target</x:v>
      </x:c>
      <x:c r="T6" s="67" t="str">
        <x:v>10GE133-CF34-10E7, 2253M21 Combustor (22.01.2021).pdf</x:v>
      </x:c>
      <x:c r="U6" s="67" t="str">
        <x:v>https://www.easa.europa.eu/en/domains/environment/icao-aircraft-engine-emissions-databank</x:v>
      </x:c>
      <x:c r="V6" s="68" t="str">
        <x:v>Thrust target is calculated from 0.85 x 83.7 kN.</x:v>
      </x:c>
    </x:row>
    <x:row r="7">
      <x:c r="A7" s="92" t="str">
        <x:v>EDB-APP</x:v>
      </x:c>
      <x:c r="B7" s="67" t="str">
        <x:v>Calibration</x:v>
      </x:c>
      <x:c r="C7" s="67" t="str">
        <x:v>ICAO approach</x:v>
      </x:c>
      <x:c r="D7" s="67" t="str">
        <x:v>CF34-10E7 / 10GE133</x:v>
      </x:c>
      <x:c r="E7" s="67" t="n">
        <x:v>30</x:v>
      </x:c>
      <x:c r="F7" s="67" t="str">
        <x:v>Derived as 30% of Foo</x:v>
      </x:c>
      <x:c r="G7" s="98" t="n">
        <x:f>$G$5*E7/100</x:f>
        <x:v>25.11</x:v>
      </x:c>
      <x:c r="H7" s="98" t="n">
        <x:v>0.237</x:v>
      </x:c>
      <x:c r="I7" s="98" t="n">
        <x:f>H7/G7*1000</x:f>
        <x:v>9.438470728793309</x:v>
      </x:c>
      <x:c r="J7" s="104" t="n">
        <x:v>5.09</x:v>
      </x:c>
      <x:c r="K7" s="104" t="n">
        <x:v>27.3</x:v>
      </x:c>
      <x:c r="L7" s="98" t="n">
        <x:v>97.2</x:v>
      </x:c>
      <x:c r="M7" s="98" t="n">
        <x:v>97.9</x:v>
      </x:c>
      <x:c r="N7" s="98" t="n">
        <x:v>296</x:v>
      </x:c>
      <x:c r="O7" s="98" t="n">
        <x:v>300</x:v>
      </x:c>
      <x:c r="P7" s="98" t="n">
        <x:v>0</x:v>
      </x:c>
      <x:c r="Q7" s="98" t="n">
        <x:v>0</x:v>
      </x:c>
      <x:c r="R7" s="67" t="str">
        <x:v>REPORTED FUEL + DERIVED THRUST</x:v>
      </x:c>
      <x:c r="S7" s="67" t="str">
        <x:v>Low-power off-design target</x:v>
      </x:c>
      <x:c r="T7" s="67" t="str">
        <x:v>10GE133-CF34-10E7, 2253M21 Combustor (22.01.2021).pdf</x:v>
      </x:c>
      <x:c r="U7" s="67" t="str">
        <x:v>https://www.easa.europa.eu/en/domains/environment/icao-aircraft-engine-emissions-databank</x:v>
      </x:c>
      <x:c r="V7" s="68" t="str">
        <x:v>Thrust target is calculated from 0.30 x 83.7 kN.</x:v>
      </x:c>
    </x:row>
    <x:row r="8">
      <x:c r="A8" s="92" t="str">
        <x:v>EDB-IDLE</x:v>
      </x:c>
      <x:c r="B8" s="67" t="str">
        <x:v>Validation</x:v>
      </x:c>
      <x:c r="C8" s="67" t="str">
        <x:v>ICAO idle</x:v>
      </x:c>
      <x:c r="D8" s="67" t="str">
        <x:v>CF34-10E7 / 10GE133</x:v>
      </x:c>
      <x:c r="E8" s="67" t="n">
        <x:v>7</x:v>
      </x:c>
      <x:c r="F8" s="67" t="str">
        <x:v>Derived as 7% of Foo</x:v>
      </x:c>
      <x:c r="G8" s="98" t="n">
        <x:f>$G$5*E8/100</x:f>
        <x:v>5.859</x:v>
      </x:c>
      <x:c r="H8" s="98" t="n">
        <x:v>0.087</x:v>
      </x:c>
      <x:c r="I8" s="98" t="n">
        <x:f>H8/G8*1000</x:f>
        <x:v>14.8489503328213</x:v>
      </x:c>
      <x:c r="J8" s="104" t="n">
        <x:v>5.09</x:v>
      </x:c>
      <x:c r="K8" s="104" t="n">
        <x:v>27.3</x:v>
      </x:c>
      <x:c r="L8" s="98" t="n">
        <x:v>97.2</x:v>
      </x:c>
      <x:c r="M8" s="98" t="n">
        <x:v>97.9</x:v>
      </x:c>
      <x:c r="N8" s="98" t="n">
        <x:v>296</x:v>
      </x:c>
      <x:c r="O8" s="98" t="n">
        <x:v>300</x:v>
      </x:c>
      <x:c r="P8" s="98" t="n">
        <x:v>0</x:v>
      </x:c>
      <x:c r="Q8" s="98" t="n">
        <x:v>0</x:v>
      </x:c>
      <x:c r="R8" s="67" t="str">
        <x:v>REPORTED FUEL + DERIVED THRUST</x:v>
      </x:c>
      <x:c r="S8" s="67" t="str">
        <x:v>Hold-out low-power validation</x:v>
      </x:c>
      <x:c r="T8" s="67" t="str">
        <x:v>10GE133-CF34-10E7, 2253M21 Combustor (22.01.2021).pdf</x:v>
      </x:c>
      <x:c r="U8" s="67" t="str">
        <x:v>https://www.easa.europa.eu/en/domains/environment/icao-aircraft-engine-emissions-databank</x:v>
      </x:c>
      <x:c r="V8" s="68" t="str">
        <x:v>Idle is more sensitive to map and combustor modeling; hold out initially.</x:v>
      </x:c>
    </x:row>
    <x:row r="9">
      <x:c r="A9" s="92" t="str">
        <x:v>RATING-MCT</x:v>
      </x:c>
      <x:c r="B9" s="67" t="str">
        <x:v>Validation</x:v>
      </x:c>
      <x:c r="C9" s="67" t="str">
        <x:v>Maximum continuous</x:v>
      </x:c>
      <x:c r="D9" s="67" t="str">
        <x:v>CF34-10E7</x:v>
      </x:c>
      <x:c r="E9" s="67"/>
      <x:c r="F9" s="67" t="str">
        <x:v>Direct TCDS rating</x:v>
      </x:c>
      <x:c r="G9" s="98" t="n">
        <x:v>75.797696324</x:v>
      </x:c>
      <x:c r="H9" s="98"/>
      <x:c r="I9" s="98"/>
      <x:c r="J9" s="104"/>
      <x:c r="K9" s="104"/>
      <x:c r="L9" s="98" t="n">
        <x:v>101.325</x:v>
      </x:c>
      <x:c r="M9" s="98" t="n">
        <x:v>101.325</x:v>
      </x:c>
      <x:c r="N9" s="98" t="n">
        <x:v>288.15</x:v>
      </x:c>
      <x:c r="O9" s="98" t="n">
        <x:v>298.15</x:v>
      </x:c>
      <x:c r="P9" s="98" t="n">
        <x:v>0</x:v>
      </x:c>
      <x:c r="Q9" s="98" t="n">
        <x:v>0</x:v>
      </x:c>
      <x:c r="R9" s="67" t="str">
        <x:v>PUBLICLY REPORTED</x:v>
      </x:c>
      <x:c r="S9" s="67" t="str">
        <x:v>Independent rating validation</x:v>
      </x:c>
      <x:c r="T9" s="67" t="str">
        <x:v>EASA.IM.E.021 Issue 06</x:v>
      </x:c>
      <x:c r="U9" s="67" t="str">
        <x:v>https://www.easa.europa.eu/en/document-library/type-certificates/engine-cs-e/easaime021-ge-cf34-10e-series-engines</x:v>
      </x:c>
      <x:c r="V9" s="68" t="str">
        <x:v>75.80 kN / 17,040 lbf; flat-rated through 25 C.</x:v>
      </x:c>
    </x:row>
    <x:row r="10">
      <x:c r="A10" s="93" t="str">
        <x:v>CRUISE-SFC</x:v>
      </x:c>
      <x:c r="B10" s="70" t="str">
        <x:v>Validation</x:v>
      </x:c>
      <x:c r="C10" s="70" t="str">
        <x:v>Maximum cruise</x:v>
      </x:c>
      <x:c r="D10" s="70" t="str">
        <x:v>CF34-10E class</x:v>
      </x:c>
      <x:c r="E10" s="70"/>
      <x:c r="F10" s="70" t="str">
        <x:v>GE public cruise condition</x:v>
      </x:c>
      <x:c r="G10" s="99"/>
      <x:c r="H10" s="99"/>
      <x:c r="I10" s="99" t="n">
        <x:v>18.1282882307</x:v>
      </x:c>
      <x:c r="J10" s="105"/>
      <x:c r="K10" s="105"/>
      <x:c r="L10" s="99"/>
      <x:c r="M10" s="99"/>
      <x:c r="N10" s="99"/>
      <x:c r="O10" s="99"/>
      <x:c r="P10" s="99"/>
      <x:c r="Q10" s="99"/>
      <x:c r="R10" s="70" t="str">
        <x:v>PUBLICLY REPORTED</x:v>
      </x:c>
      <x:c r="S10" s="70" t="str">
        <x:v>Independent cruise validation</x:v>
      </x:c>
      <x:c r="T10" s="70" t="str">
        <x:v>GE CF34-10E public datasheet</x:v>
      </x:c>
      <x:c r="U10" s="70" t="str">
        <x:v>https://www.geaerospace.com/sites/default/files/datasheet-CF34-10E.pdf</x:v>
      </x:c>
      <x:c r="V10" s="71" t="str">
        <x:v>0.64 lbm/(lbf-hr) at 35,000 ft and Mach 0.8; requires off-design flight solver.</x:v>
      </x:c>
    </x:row>
  </x:sheetData>
  <x:mergeCells>
    <x:mergeCell ref="A1:V1"/>
  </x:mergeCells>
  <x:pageMargins left="0.7" right="0.7" top="0.75" bottom="0.75" header="0.3" footer="0.3"/>
  <x:tableParts count="1">
    <x:tablePart xmlns:r="http://schemas.openxmlformats.org/officeDocument/2006/relationships" r:id="Rab83a3f0667246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25" hidden="0" customWidth="1"/>
    <x:col min="5" max="5" width="10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1" hidden="0" customWidth="1"/>
    <x:col min="14" max="14" width="10" hidden="0" customWidth="1"/>
    <x:col min="15" max="15" width="10" hidden="0" customWidth="1"/>
    <x:col min="16" max="16" width="12" hidden="0" customWidth="1"/>
    <x:col min="17" max="17" width="12" hidden="0" customWidth="1"/>
    <x:col min="18" max="18" width="42" hidden="0" customWidth="1"/>
    <x:col min="19" max="19" width="24" hidden="0" customWidth="1"/>
    <x:col min="20" max="20" width="46" hidden="0" customWidth="1"/>
    <x:col min="21" max="21" width="42" hidden="0" customWidth="1"/>
  </x:cols>
  <x:sheetData>
    <x:row r="1">
      <x:c r="A1" s="5" t="str">
        <x:v>Official ICAO EDB CF34-10E7 Variant Records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3">
      <x:c r="A3" s="85" t="str">
        <x:v>UID</x:v>
      </x:c>
      <x:c r="B3" s="85" t="str">
        <x:v>Engine identification</x:v>
      </x:c>
      <x:c r="C3" s="85" t="str">
        <x:v>Combustor</x:v>
      </x:c>
      <x:c r="D3" s="85" t="str">
        <x:v>Block / configuration</x:v>
      </x:c>
      <x:c r="E3" s="85" t="str">
        <x:v>BPR</x:v>
      </x:c>
      <x:c r="F3" s="85" t="str">
        <x:v>Pressure ratio</x:v>
      </x:c>
      <x:c r="G3" s="85" t="str">
        <x:v>Rated thrust (kN)</x:v>
      </x:c>
      <x:c r="H3" s="85" t="str">
        <x:v>Fuel TO (kg/s)</x:v>
      </x:c>
      <x:c r="I3" s="85" t="str">
        <x:v>Fuel CO (kg/s)</x:v>
      </x:c>
      <x:c r="J3" s="85" t="str">
        <x:v>Fuel APP (kg/s)</x:v>
      </x:c>
      <x:c r="K3" s="85" t="str">
        <x:v>Fuel IDLE (kg/s)</x:v>
      </x:c>
      <x:c r="L3" s="85" t="str">
        <x:v>P min (kPa)</x:v>
      </x:c>
      <x:c r="M3" s="85" t="str">
        <x:v>P max (kPa)</x:v>
      </x:c>
      <x:c r="N3" s="85" t="str">
        <x:v>T min (K)</x:v>
      </x:c>
      <x:c r="O3" s="85" t="str">
        <x:v>T max (K)</x:v>
      </x:c>
      <x:c r="P3" s="85" t="str">
        <x:v>Humidity min</x:v>
      </x:c>
      <x:c r="Q3" s="85" t="str">
        <x:v>Humidity max</x:v>
      </x:c>
      <x:c r="R3" s="85" t="str">
        <x:v>Engine / report</x:v>
      </x:c>
      <x:c r="S3" s="85" t="str">
        <x:v>Primary role</x:v>
      </x:c>
      <x:c r="T3" s="85" t="str">
        <x:v>Source file</x:v>
      </x:c>
      <x:c r="U3" s="85" t="str">
        <x:v>Notes</x:v>
      </x:c>
    </x:row>
    <x:row r="4">
      <x:c r="A4" s="91" t="str">
        <x:v>10GE133</x:v>
      </x:c>
      <x:c r="B4" s="64" t="str">
        <x:v>CF34-10E7</x:v>
      </x:c>
      <x:c r="C4" s="64" t="str">
        <x:v>2253M21</x:v>
      </x:c>
      <x:c r="D4" s="64" t="str">
        <x:v>Block 2</x:v>
      </x:c>
      <x:c r="E4" s="97" t="n">
        <x:v>5.09</x:v>
      </x:c>
      <x:c r="F4" s="97" t="n">
        <x:v>27.3</x:v>
      </x:c>
      <x:c r="G4" s="97" t="n">
        <x:v>83.7</x:v>
      </x:c>
      <x:c r="H4" s="97" t="n">
        <x:v>0.866</x:v>
      </x:c>
      <x:c r="I4" s="97" t="n">
        <x:v>0.714</x:v>
      </x:c>
      <x:c r="J4" s="97" t="n">
        <x:v>0.237</x:v>
      </x:c>
      <x:c r="K4" s="97" t="n">
        <x:v>0.087</x:v>
      </x:c>
      <x:c r="L4" s="97" t="n">
        <x:v>97.2</x:v>
      </x:c>
      <x:c r="M4" s="97" t="n">
        <x:v>97.9</x:v>
      </x:c>
      <x:c r="N4" s="97" t="n">
        <x:v>296</x:v>
      </x:c>
      <x:c r="O4" s="97" t="n">
        <x:v>300</x:v>
      </x:c>
      <x:c r="P4" s="97" t="n">
        <x:v>0.0099</x:v>
      </x:c>
      <x:c r="Q4" s="97" t="n">
        <x:v>0.0127</x:v>
      </x:c>
      <x:c r="R4" s="64" t="str">
        <x:v>Engine 994-251/1 / GE Report R2006AE716</x:v>
      </x:c>
      <x:c r="S4" s="64" t="str">
        <x:v>PRIMARY CALIBRATION</x:v>
      </x:c>
      <x:c r="T4" s="64" t="str">
        <x:v>10GE133-CF34-10E7, 2253M21 Combustor (22.01.2021).pdf</x:v>
      </x:c>
      <x:c r="U4" s="65" t="str">
        <x:v>Production 2253M21 combustor beginning August 2007.</x:v>
      </x:c>
    </x:row>
    <x:row r="5">
      <x:c r="A5" s="92" t="str">
        <x:v>11GE146</x:v>
      </x:c>
      <x:c r="B5" s="67" t="str">
        <x:v>CF34-10E7</x:v>
      </x:c>
      <x:c r="C5" s="67" t="str">
        <x:v>2253M21-PFN</x:v>
      </x:c>
      <x:c r="D5" s="67" t="str">
        <x:v>Block 2 / alternate injector</x:v>
      </x:c>
      <x:c r="E5" s="98" t="n">
        <x:v>5.09</x:v>
      </x:c>
      <x:c r="F5" s="98" t="n">
        <x:v>27.2</x:v>
      </x:c>
      <x:c r="G5" s="98" t="n">
        <x:v>83.7</x:v>
      </x:c>
      <x:c r="H5" s="98" t="n">
        <x:v>0.87</x:v>
      </x:c>
      <x:c r="I5" s="98" t="n">
        <x:v>0.717</x:v>
      </x:c>
      <x:c r="J5" s="98" t="n">
        <x:v>0.239</x:v>
      </x:c>
      <x:c r="K5" s="98" t="n">
        <x:v>0.088</x:v>
      </x:c>
      <x:c r="L5" s="98" t="n">
        <x:v>97.2</x:v>
      </x:c>
      <x:c r="M5" s="98" t="n">
        <x:v>97.9</x:v>
      </x:c>
      <x:c r="N5" s="98" t="n">
        <x:v>292</x:v>
      </x:c>
      <x:c r="O5" s="98" t="n">
        <x:v>298</x:v>
      </x:c>
      <x:c r="P5" s="98" t="n">
        <x:v>0.0053</x:v>
      </x:c>
      <x:c r="Q5" s="98" t="n">
        <x:v>0.0078</x:v>
      </x:c>
      <x:c r="R5" s="67" t="str">
        <x:v>Engine 994-743/1 / GE Report R2008AE622</x:v>
      </x:c>
      <x:c r="S5" s="67" t="str">
        <x:v>VALIDATION / ENVELOPE</x:v>
      </x:c>
      <x:c r="T5" s="67" t="str">
        <x:v>11GE146-CF34-10E7, 2253M21-PFN Combustor (22.01.2021).pdf</x:v>
      </x:c>
      <x:c r="U5" s="68" t="str">
        <x:v>Alternate fuel injector manufacturer.</x:v>
      </x:c>
    </x:row>
    <x:row r="6">
      <x:c r="A6" s="92" t="str">
        <x:v>8GE119</x:v>
      </x:c>
      <x:c r="B6" s="67" t="str">
        <x:v>CF34-10E7</x:v>
      </x:c>
      <x:c r="C6" s="67" t="str">
        <x:v>SAC</x:v>
      </x:c>
      <x:c r="D6" s="67" t="str">
        <x:v>Block 1</x:v>
      </x:c>
      <x:c r="E6" s="98" t="n">
        <x:v>5.09</x:v>
      </x:c>
      <x:c r="F6" s="98" t="n">
        <x:v>27.3</x:v>
      </x:c>
      <x:c r="G6" s="98" t="n">
        <x:v>83.7</x:v>
      </x:c>
      <x:c r="H6" s="98" t="n">
        <x:v>0.871</x:v>
      </x:c>
      <x:c r="I6" s="98" t="n">
        <x:v>0.72</x:v>
      </x:c>
      <x:c r="J6" s="98" t="n">
        <x:v>0.244</x:v>
      </x:c>
      <x:c r="K6" s="98" t="n">
        <x:v>0.088</x:v>
      </x:c>
      <x:c r="L6" s="98" t="n">
        <x:v>98.4</x:v>
      </x:c>
      <x:c r="M6" s="98" t="n">
        <x:v>98.6</x:v>
      </x:c>
      <x:c r="N6" s="98" t="n">
        <x:v>294</x:v>
      </x:c>
      <x:c r="O6" s="98" t="n">
        <x:v>295</x:v>
      </x:c>
      <x:c r="P6" s="98" t="n">
        <x:v>0.00922</x:v>
      </x:c>
      <x:c r="Q6" s="98" t="n">
        <x:v>0.01192</x:v>
      </x:c>
      <x:c r="R6" s="67" t="str">
        <x:v>Engine 994-110/1 / GE Reports R2004AE636 and R2006AE173</x:v>
      </x:c>
      <x:c r="S6" s="67" t="str">
        <x:v>VALIDATION / ENVELOPE</x:v>
      </x:c>
      <x:c r="T6" s="67" t="str">
        <x:v>8GE119-CF34-10E7, SAC Combustor (22.01.2021).pdf</x:v>
      </x:c>
      <x:c r="U6" s="68" t="str">
        <x:v>Earlier Block 1 configuration.</x:v>
      </x:c>
    </x:row>
    <x:row r="7">
      <x:c r="A7" s="93" t="str">
        <x:v>11GE147</x:v>
      </x:c>
      <x:c r="B7" s="70" t="str">
        <x:v>CF34-10E7-B</x:v>
      </x:c>
      <x:c r="C7" s="70" t="str">
        <x:v>2253M21-PFN</x:v>
      </x:c>
      <x:c r="D7" s="70" t="str">
        <x:v>E7-B / alternate injector</x:v>
      </x:c>
      <x:c r="E7" s="99" t="n">
        <x:v>5.09</x:v>
      </x:c>
      <x:c r="F7" s="99" t="n">
        <x:v>27.2</x:v>
      </x:c>
      <x:c r="G7" s="99" t="n">
        <x:v>83.7</x:v>
      </x:c>
      <x:c r="H7" s="99" t="n">
        <x:v>0.87</x:v>
      </x:c>
      <x:c r="I7" s="99" t="n">
        <x:v>0.717</x:v>
      </x:c>
      <x:c r="J7" s="99" t="n">
        <x:v>0.239</x:v>
      </x:c>
      <x:c r="K7" s="99" t="n">
        <x:v>0.088</x:v>
      </x:c>
      <x:c r="L7" s="99" t="n">
        <x:v>97.2</x:v>
      </x:c>
      <x:c r="M7" s="99" t="n">
        <x:v>97.9</x:v>
      </x:c>
      <x:c r="N7" s="99" t="n">
        <x:v>292</x:v>
      </x:c>
      <x:c r="O7" s="99" t="n">
        <x:v>298</x:v>
      </x:c>
      <x:c r="P7" s="99" t="n">
        <x:v>0.0053</x:v>
      </x:c>
      <x:c r="Q7" s="99" t="n">
        <x:v>0.0078</x:v>
      </x:c>
      <x:c r="R7" s="70" t="str">
        <x:v>Engine 994-743/1 / GE Report R2008AE622</x:v>
      </x:c>
      <x:c r="S7" s="70" t="str">
        <x:v>REFERENCE ONLY</x:v>
      </x:c>
      <x:c r="T7" s="70" t="str">
        <x:v>11GE147-CF34-10E7-B, 2253M21-PFN Combustor (22.01.2021).pdf</x:v>
      </x:c>
      <x:c r="U7" s="71" t="str">
        <x:v>Same test engine and fuel-flow data as UID 11GE146; do not double-count statistically.</x:v>
      </x:c>
    </x:row>
    <x:row r="9">
      <x:c r="A9" s="20" t="str">
        <x:v>Statistic</x:v>
      </x:c>
      <x:c r="B9" s="111" t="str"/>
      <x:c r="C9" s="111" t="str"/>
      <x:c r="D9" s="111" t="str"/>
      <x:c r="E9" s="111" t="str"/>
      <x:c r="F9" s="111" t="str"/>
      <x:c r="G9" s="111" t="str"/>
      <x:c r="H9" s="111" t="str">
        <x:v>Fuel TO</x:v>
      </x:c>
      <x:c r="I9" s="111" t="str">
        <x:v>Fuel CO</x:v>
      </x:c>
      <x:c r="J9" s="111" t="str">
        <x:v>Fuel APP</x:v>
      </x:c>
      <x:c r="K9" s="112" t="str">
        <x:v>Fuel IDLE</x:v>
      </x:c>
    </x:row>
    <x:row r="10">
      <x:c r="A10" s="48" t="str">
        <x:v>Minimum</x:v>
      </x:c>
      <x:c r="B10" s="49"/>
      <x:c r="C10" s="49"/>
      <x:c r="D10" s="49"/>
      <x:c r="E10" s="49"/>
      <x:c r="F10" s="49"/>
      <x:c r="G10" s="49"/>
      <x:c r="H10" s="109" t="n">
        <x:f>MIN(H4:H6)</x:f>
        <x:v>0.866</x:v>
      </x:c>
      <x:c r="I10" s="109" t="n">
        <x:f>MIN(I4:I6)</x:f>
        <x:v>0.714</x:v>
      </x:c>
      <x:c r="J10" s="109" t="n">
        <x:f>MIN(J4:J6)</x:f>
        <x:v>0.237</x:v>
      </x:c>
      <x:c r="K10" s="32" t="n">
        <x:f>MIN(K4:K6)</x:f>
        <x:v>0.087</x:v>
      </x:c>
    </x:row>
    <x:row r="11">
      <x:c r="A11" s="48" t="str">
        <x:v>Maximum</x:v>
      </x:c>
      <x:c r="B11" s="49"/>
      <x:c r="C11" s="49"/>
      <x:c r="D11" s="49"/>
      <x:c r="E11" s="49"/>
      <x:c r="F11" s="49"/>
      <x:c r="G11" s="49"/>
      <x:c r="H11" s="109" t="n">
        <x:f>MAX(H4:H6)</x:f>
        <x:v>0.871</x:v>
      </x:c>
      <x:c r="I11" s="109" t="n">
        <x:f>MAX(I4:I6)</x:f>
        <x:v>0.72</x:v>
      </x:c>
      <x:c r="J11" s="109" t="n">
        <x:f>MAX(J4:J6)</x:f>
        <x:v>0.244</x:v>
      </x:c>
      <x:c r="K11" s="32" t="n">
        <x:f>MAX(K4:K6)</x:f>
        <x:v>0.088</x:v>
      </x:c>
    </x:row>
    <x:row r="12">
      <x:c r="A12" s="48" t="str">
        <x:v>Mean</x:v>
      </x:c>
      <x:c r="B12" s="49"/>
      <x:c r="C12" s="49"/>
      <x:c r="D12" s="49"/>
      <x:c r="E12" s="49"/>
      <x:c r="F12" s="49"/>
      <x:c r="G12" s="49"/>
      <x:c r="H12" s="109" t="n">
        <x:f>AVERAGE(H4:H6)</x:f>
        <x:v>0.8690000000000001</x:v>
      </x:c>
      <x:c r="I12" s="109" t="n">
        <x:f>AVERAGE(I4:I6)</x:f>
        <x:v>0.717</x:v>
      </x:c>
      <x:c r="J12" s="109" t="n">
        <x:f>AVERAGE(J4:J6)</x:f>
        <x:v>0.24</x:v>
      </x:c>
      <x:c r="K12" s="32" t="n">
        <x:f>AVERAGE(K4:K6)</x:f>
        <x:v>0.08766666666666667</x:v>
      </x:c>
    </x:row>
    <x:row r="13">
      <x:c r="A13" s="50" t="str">
        <x:v>Primary deviation from mean (%)</x:v>
      </x:c>
      <x:c r="B13" s="51"/>
      <x:c r="C13" s="51"/>
      <x:c r="D13" s="51"/>
      <x:c r="E13" s="51"/>
      <x:c r="F13" s="51"/>
      <x:c r="G13" s="51"/>
      <x:c r="H13" s="113" t="n">
        <x:f>(H4-H12)/H12*100</x:f>
        <x:v>-0.3452243958573203</x:v>
      </x:c>
      <x:c r="I13" s="113" t="n">
        <x:f>(I4-I12)/I12*100</x:f>
        <x:v>-0.4184100418410046</x:v>
      </x:c>
      <x:c r="J13" s="113" t="n">
        <x:f>(J4-J12)/J12*100</x:f>
        <x:v>-1.250000000000001</x:v>
      </x:c>
      <x:c r="K13" s="114" t="n">
        <x:f>(K4-K12)/K12*100</x:f>
        <x:v>-0.7604562737642697</x:v>
      </x:c>
    </x:row>
  </x:sheetData>
  <x:mergeCells>
    <x:mergeCell ref="A1:U1"/>
  </x:mergeCells>
  <x:pageMargins left="0.7" right="0.7" top="0.75" bottom="0.75" header="0.3" footer="0.3"/>
  <x:tableParts count="1">
    <x:tablePart xmlns:r="http://schemas.openxmlformats.org/officeDocument/2006/relationships" r:id="R5f1afd9ebc7b4b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4" hidden="0" customWidth="1"/>
    <x:col min="5" max="5" width="38" hidden="0" customWidth="1"/>
    <x:col min="6" max="6" width="20" hidden="0" customWidth="1"/>
    <x:col min="7" max="7" width="12" hidden="0" customWidth="1"/>
    <x:col min="8" max="8" width="44" hidden="0" customWidth="1"/>
  </x:cols>
  <x:sheetData>
    <x:row r="1">
      <x:c r="A1" s="5" t="str">
        <x:v>CF34-10E Calibration Pedigree and Model-Gap Plan</x:v>
      </x:c>
      <x:c r="B1" s="5"/>
      <x:c r="C1" s="5"/>
      <x:c r="D1" s="5"/>
      <x:c r="E1" s="5"/>
      <x:c r="F1" s="5"/>
      <x:c r="G1" s="5"/>
      <x:c r="H1" s="5"/>
    </x:row>
    <x:row r="3">
      <x:c r="A3" s="85" t="str">
        <x:v>Quantity / capability</x:v>
      </x:c>
      <x:c r="B3" s="85" t="str">
        <x:v>Public value or range</x:v>
      </x:c>
      <x:c r="C3" s="85" t="str">
        <x:v>Pedigree</x:v>
      </x:c>
      <x:c r="D3" s="85" t="str">
        <x:v>Current v0.5 status</x:v>
      </x:c>
      <x:c r="E3" s="85" t="str">
        <x:v>v0.6 action</x:v>
      </x:c>
      <x:c r="F3" s="85" t="str">
        <x:v>Calibration role</x:v>
      </x:c>
      <x:c r="G3" s="85" t="str">
        <x:v>Priority</x:v>
      </x:c>
      <x:c r="H3" s="85" t="str">
        <x:v>Key caution</x:v>
      </x:c>
    </x:row>
    <x:row r="4">
      <x:c r="A4" s="91" t="str">
        <x:v>Max takeoff thrust</x:v>
      </x:c>
      <x:c r="B4" s="64" t="str">
        <x:v>90.57 kN</x:v>
      </x:c>
      <x:c r="C4" s="64" t="str">
        <x:v>PUBLICLY REPORTED</x:v>
      </x:c>
      <x:c r="D4" s="64" t="str">
        <x:v>Matched by core-flow scaling</x:v>
      </x:c>
      <x:c r="E4" s="64" t="str">
        <x:v>Retain as high-rating anchor</x:v>
      </x:c>
      <x:c r="F4" s="64" t="str">
        <x:v>Calibration</x:v>
      </x:c>
      <x:c r="G4" s="64" t="str">
        <x:v>High</x:v>
      </x:c>
      <x:c r="H4" s="65" t="str">
        <x:v>One-point exact match is not independent validation.</x:v>
      </x:c>
    </x:row>
    <x:row r="5">
      <x:c r="A5" s="92" t="str">
        <x:v>Normal takeoff thrust</x:v>
      </x:c>
      <x:c r="B5" s="67" t="str">
        <x:v>83.7-83.72 kN</x:v>
      </x:c>
      <x:c r="C5" s="67" t="str">
        <x:v>PUBLICLY REPORTED</x:v>
      </x:c>
      <x:c r="D5" s="67" t="str">
        <x:v>No explicit normal-takeoff rating solver</x:v>
      </x:c>
      <x:c r="E5" s="67" t="str">
        <x:v>Add rating configuration and fuel-control solve</x:v>
      </x:c>
      <x:c r="F5" s="67" t="str">
        <x:v>Calibration</x:v>
      </x:c>
      <x:c r="G5" s="67" t="str">
        <x:v>High</x:v>
      </x:c>
      <x:c r="H5" s="68" t="str">
        <x:v>EDB uses Foo=83.7 kN.</x:v>
      </x:c>
    </x:row>
    <x:row r="6">
      <x:c r="A6" s="92" t="str">
        <x:v>Fuel-flow schedule</x:v>
      </x:c>
      <x:c r="B6" s="67" t="str">
        <x:v>0.866 / 0.714 / 0.237 / 0.087 kg/s</x:v>
      </x:c>
      <x:c r="C6" s="67" t="str">
        <x:v>PUBLICLY REPORTED</x:v>
      </x:c>
      <x:c r="D6" s="67" t="str">
        <x:v>Only one design-point fuel flow</x:v>
      </x:c>
      <x:c r="E6" s="67" t="str">
        <x:v>Add off-design matching and fit against EDB points</x:v>
      </x:c>
      <x:c r="F6" s="67" t="str">
        <x:v>Calibration + validation</x:v>
      </x:c>
      <x:c r="G6" s="67" t="str">
        <x:v>High</x:v>
      </x:c>
      <x:c r="H6" s="68" t="str">
        <x:v>Preserve ambient ranges and dataset uncertainty.</x:v>
      </x:c>
    </x:row>
    <x:row r="7">
      <x:c r="A7" s="92" t="str">
        <x:v>Bypass ratio</x:v>
      </x:c>
      <x:c r="B7" s="67" t="str">
        <x:v>5.09 rated-point; 5.4 public max</x:v>
      </x:c>
      <x:c r="C7" s="67" t="str">
        <x:v>PUBLICLY REPORTED</x:v>
      </x:c>
      <x:c r="D7" s="67" t="str">
        <x:v>Fixed at 5.4</x:v>
      </x:c>
      <x:c r="E7" s="67" t="str">
        <x:v>Allow operating-point variation through corrected flows/maps</x:v>
      </x:c>
      <x:c r="F7" s="67" t="str">
        <x:v>Calibration</x:v>
      </x:c>
      <x:c r="G7" s="67" t="str">
        <x:v>High</x:v>
      </x:c>
      <x:c r="H7" s="68" t="str">
        <x:v>Do not average the two values into one constant.</x:v>
      </x:c>
    </x:row>
    <x:row r="8">
      <x:c r="A8" s="92" t="str">
        <x:v>Overall pressure ratio</x:v>
      </x:c>
      <x:c r="B8" s="67" t="str">
        <x:v>27.2-27.3 rated-point; 29 public max</x:v>
      </x:c>
      <x:c r="C8" s="67" t="str">
        <x:v>PUBLICLY REPORTED</x:v>
      </x:c>
      <x:c r="D8" s="67" t="str">
        <x:v>Fixed at 29</x:v>
      </x:c>
      <x:c r="E8" s="67" t="str">
        <x:v>Allow PR to move with spool speed and map operating point</x:v>
      </x:c>
      <x:c r="F8" s="67" t="str">
        <x:v>Calibration</x:v>
      </x:c>
      <x:c r="G8" s="67" t="str">
        <x:v>High</x:v>
      </x:c>
      <x:c r="H8" s="68" t="str">
        <x:v>Direct evidence that one fixed OPR is insufficient.</x:v>
      </x:c>
    </x:row>
    <x:row r="9">
      <x:c r="A9" s="92" t="str">
        <x:v>Nozzle areas</x:v>
      </x:c>
      <x:c r="B9" s="67" t="str">
        <x:v>Not publicly reported</x:v>
      </x:c>
      <x:c r="C9" s="67" t="str">
        <x:v>UNKNOWN</x:v>
      </x:c>
      <x:c r="D9" s="67" t="str">
        <x:v>Resized by each nozzle solve</x:v>
      </x:c>
      <x:c r="E9" s="67" t="str">
        <x:v>Freeze physical core and bypass areas from selected design point</x:v>
      </x:c>
      <x:c r="F9" s="67" t="str">
        <x:v>Constraint</x:v>
      </x:c>
      <x:c r="G9" s="67" t="str">
        <x:v>High</x:v>
      </x:c>
      <x:c r="H9" s="68" t="str">
        <x:v>Off-design matching is impossible if geometry silently changes.</x:v>
      </x:c>
    </x:row>
    <x:row r="10">
      <x:c r="A10" s="92" t="str">
        <x:v>Component maps</x:v>
      </x:c>
      <x:c r="B10" s="67" t="str">
        <x:v>No proprietary CF34 maps</x:v>
      </x:c>
      <x:c r="C10" s="67" t="str">
        <x:v>ASSUMED / GENERIC</x:v>
      </x:c>
      <x:c r="D10" s="67" t="str">
        <x:v>Not implemented</x:v>
      </x:c>
      <x:c r="E10" s="67" t="str">
        <x:v>Add generic scaled compressor and turbine maps</x:v>
      </x:c>
      <x:c r="F10" s="67" t="str">
        <x:v>Infrastructure</x:v>
      </x:c>
      <x:c r="G10" s="67" t="str">
        <x:v>High</x:v>
      </x:c>
      <x:c r="H10" s="68" t="str">
        <x:v>Use limited, documented scale factors.</x:v>
      </x:c>
    </x:row>
    <x:row r="11">
      <x:c r="A11" s="92" t="str">
        <x:v>Component efficiencies</x:v>
      </x:c>
      <x:c r="B11" s="67" t="str">
        <x:v>Not publicly reported</x:v>
      </x:c>
      <x:c r="C11" s="67" t="str">
        <x:v>ASSUMED</x:v>
      </x:c>
      <x:c r="D11" s="67" t="str">
        <x:v>Fixed constants</x:v>
      </x:c>
      <x:c r="E11" s="67" t="str">
        <x:v>Fit bounded design/map efficiency scalars</x:v>
      </x:c>
      <x:c r="F11" s="67" t="str">
        <x:v>Calibration</x:v>
      </x:c>
      <x:c r="G11" s="67" t="str">
        <x:v>Medium</x:v>
      </x:c>
      <x:c r="H11" s="68" t="str">
        <x:v>Avoid tuning every component independently.</x:v>
      </x:c>
    </x:row>
    <x:row r="12">
      <x:c r="A12" s="92" t="str">
        <x:v>Combustor exit temperature</x:v>
      </x:c>
      <x:c r="B12" s="67" t="str">
        <x:v>Not publicly reported</x:v>
      </x:c>
      <x:c r="C12" s="67" t="str">
        <x:v>ASSUMED</x:v>
      </x:c>
      <x:c r="D12" s="67" t="str">
        <x:v>1600 K fixed</x:v>
      </x:c>
      <x:c r="E12" s="67" t="str">
        <x:v>Use fuel schedule / temperature limit as solved control variable</x:v>
      </x:c>
      <x:c r="F12" s="67" t="str">
        <x:v>Calibration</x:v>
      </x:c>
      <x:c r="G12" s="67" t="str">
        <x:v>High</x:v>
      </x:c>
      <x:c r="H12" s="68" t="str">
        <x:v>Do not claim 1600 K is a CF34 value.</x:v>
      </x:c>
    </x:row>
    <x:row r="13">
      <x:c r="A13" s="92" t="str">
        <x:v>Internal cooling bleed</x:v>
      </x:c>
      <x:c r="B13" s="67" t="str">
        <x:v>Not publicly reported</x:v>
      </x:c>
      <x:c r="C13" s="67" t="str">
        <x:v>ASSUMED</x:v>
      </x:c>
      <x:c r="D13" s="67" t="str">
        <x:v>5% fixed</x:v>
      </x:c>
      <x:c r="E13" s="67" t="str">
        <x:v>Retain bounded parameter; calibrate only if EGT/work data support it</x:v>
      </x:c>
      <x:c r="F13" s="67" t="str">
        <x:v>Calibration</x:v>
      </x:c>
      <x:c r="G13" s="67" t="str">
        <x:v>Medium</x:v>
      </x:c>
      <x:c r="H13" s="68" t="str">
        <x:v>Customer bleed limits are not cooling-flow data.</x:v>
      </x:c>
    </x:row>
    <x:row r="14">
      <x:c r="A14" s="92" t="str">
        <x:v>LPT EGT probe station</x:v>
      </x:c>
      <x:c r="B14" s="67" t="str">
        <x:v>Second-stage LPT vane location</x:v>
      </x:c>
      <x:c r="C14" s="67" t="str">
        <x:v>PUBLICLY REPORTED</x:v>
      </x:c>
      <x:c r="D14" s="67" t="str">
        <x:v>Single lumped LPT</x:v>
      </x:c>
      <x:c r="E14" s="67" t="str">
        <x:v>Split LPT into four thermodynamic stages</x:v>
      </x:c>
      <x:c r="F14" s="67" t="str">
        <x:v>Validation</x:v>
      </x:c>
      <x:c r="G14" s="67" t="str">
        <x:v>Medium</x:v>
      </x:c>
      <x:c r="H14" s="68" t="str">
        <x:v>Station 5 is not the certified EGT location.</x:v>
      </x:c>
    </x:row>
    <x:row r="15">
      <x:c r="A15" s="93" t="str">
        <x:v>Cruise SFC</x:v>
      </x:c>
      <x:c r="B15" s="70" t="str">
        <x:v>0.64 lbm/(lbf-hr) at 35,000 ft, M0.8</x:v>
      </x:c>
      <x:c r="C15" s="70" t="str">
        <x:v>PUBLICLY REPORTED</x:v>
      </x:c>
      <x:c r="D15" s="70" t="str">
        <x:v>No off-design cruise point</x:v>
      </x:c>
      <x:c r="E15" s="70" t="str">
        <x:v>Add flight-condition off-design solve after sea-level multipoint fit</x:v>
      </x:c>
      <x:c r="F15" s="70" t="str">
        <x:v>Validation</x:v>
      </x:c>
      <x:c r="G15" s="70" t="str">
        <x:v>Medium</x:v>
      </x:c>
      <x:c r="H15" s="71" t="str">
        <x:v>Hold out from initial fit to avoid overfitting.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52b6498052c4e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5" hidden="0" customWidth="1"/>
    <x:col min="3" max="3" width="48" hidden="0" customWidth="1"/>
    <x:col min="4" max="4" width="50" hidden="0" customWidth="1"/>
    <x:col min="5" max="5" width="64" hidden="0" customWidth="1"/>
  </x:cols>
  <x:sheetData>
    <x:row r="1">
      <x:c r="A1" s="5" t="str">
        <x:v>Source Register</x:v>
      </x:c>
      <x:c r="B1" s="5"/>
      <x:c r="C1" s="5"/>
      <x:c r="D1" s="5"/>
      <x:c r="E1" s="5"/>
    </x:row>
    <x:row r="3">
      <x:c r="A3" s="85" t="str">
        <x:v>Source</x:v>
      </x:c>
      <x:c r="B3" s="85" t="str">
        <x:v>Type</x:v>
      </x:c>
      <x:c r="C3" s="85" t="str">
        <x:v>Coverage</x:v>
      </x:c>
      <x:c r="D3" s="85" t="str">
        <x:v>Local file / identifier</x:v>
      </x:c>
      <x:c r="E3" s="85" t="str">
        <x:v>URL</x:v>
      </x:c>
    </x:row>
    <x:row r="4">
      <x:c r="A4" s="91" t="str">
        <x:v>ICAO Aircraft Engine Emissions Databank 03/2026</x:v>
      </x:c>
      <x:c r="B4" s="64" t="str">
        <x:v>Official EASA-hosted XLSX</x:v>
      </x:c>
      <x:c r="C4" s="64" t="str">
        <x:v>Rated thrust, BPR, PR, four LTO fuel-flow points, emissions, test conditions</x:v>
      </x:c>
      <x:c r="D4" s="64" t="str">
        <x:v>edb-emissions-databank_v32__web_.xlsx</x:v>
      </x:c>
      <x:c r="E4" s="65" t="str">
        <x:v>https://www.easa.europa.eu/en/domains/environment/icao-aircraft-engine-emissions-databank</x:v>
      </x:c>
    </x:row>
    <x:row r="5">
      <x:c r="A5" s="92" t="str">
        <x:v>ICAO EDB datasheet UID 10GE133</x:v>
      </x:c>
      <x:c r="B5" s="67" t="str">
        <x:v>Official EASA-hosted PDF</x:v>
      </x:c>
      <x:c r="C5" s="67" t="str">
        <x:v>Primary CF34-10E7 2253M21 Block 2 record</x:v>
      </x:c>
      <x:c r="D5" s="67" t="str">
        <x:v>10GE133-CF34-10E7, 2253M21 Combustor (22.01.2021).pdf</x:v>
      </x:c>
      <x:c r="E5" s="68" t="str">
        <x:v>https://www.easa.europa.eu/en/domains/environment/icao-aircraft-engine-emissions-databank</x:v>
      </x:c>
    </x:row>
    <x:row r="6">
      <x:c r="A6" s="92" t="str">
        <x:v>ICAO EDB datasheet UID 11GE146</x:v>
      </x:c>
      <x:c r="B6" s="67" t="str">
        <x:v>Official EASA-hosted PDF</x:v>
      </x:c>
      <x:c r="C6" s="67" t="str">
        <x:v>CF34-10E7 2253M21-PFN alternate injector</x:v>
      </x:c>
      <x:c r="D6" s="67" t="str">
        <x:v>11GE146-CF34-10E7, 2253M21-PFN Combustor (22.01.2021).pdf</x:v>
      </x:c>
      <x:c r="E6" s="68" t="str">
        <x:v>https://www.easa.europa.eu/en/domains/environment/icao-aircraft-engine-emissions-databank</x:v>
      </x:c>
    </x:row>
    <x:row r="7">
      <x:c r="A7" s="92" t="str">
        <x:v>ICAO EDB datasheet UID 8GE119</x:v>
      </x:c>
      <x:c r="B7" s="67" t="str">
        <x:v>Official EASA-hosted PDF</x:v>
      </x:c>
      <x:c r="C7" s="67" t="str">
        <x:v>CF34-10E7 SAC Block 1</x:v>
      </x:c>
      <x:c r="D7" s="67" t="str">
        <x:v>8GE119-CF34-10E7, SAC Combustor (22.01.2021).pdf</x:v>
      </x:c>
      <x:c r="E7" s="68" t="str">
        <x:v>https://www.easa.europa.eu/en/domains/environment/icao-aircraft-engine-emissions-databank</x:v>
      </x:c>
    </x:row>
    <x:row r="8">
      <x:c r="A8" s="92" t="str">
        <x:v>EASA Type Certificate Data Sheet IM.E.021 Issue 06</x:v>
      </x:c>
      <x:c r="B8" s="67" t="str">
        <x:v>Official EASA TCDS</x:v>
      </x:c>
      <x:c r="C8" s="67" t="str">
        <x:v>Certified ratings, limits, architecture, speeds, bleed and accessory constraints</x:v>
      </x:c>
      <x:c r="D8" s="67" t="str">
        <x:v>EASA.IM.E.021 Issue 06</x:v>
      </x:c>
      <x:c r="E8" s="68" t="str">
        <x:v>https://www.easa.europa.eu/en/document-library/type-certificates/engine-cs-e/easaime021-ge-cf34-10e-series-engines</x:v>
      </x:c>
    </x:row>
    <x:row r="9">
      <x:c r="A9" s="92" t="str">
        <x:v>GE Aerospace CF34 family page</x:v>
      </x:c>
      <x:c r="B9" s="67" t="str">
        <x:v>Official manufacturer page</x:v>
      </x:c>
      <x:c r="C9" s="67" t="str">
        <x:v>Public maximum OPR, stage architecture, dimensions, thrust class</x:v>
      </x:c>
      <x:c r="D9" s="67" t="str">
        <x:v>CF34 Engine Family</x:v>
      </x:c>
      <x:c r="E9" s="68" t="str">
        <x:v>https://www.geaerospace.com/commercial/aircraft-engines/cf34</x:v>
      </x:c>
    </x:row>
    <x:row r="10">
      <x:c r="A10" s="93" t="str">
        <x:v>GE CF34-10E public datasheet</x:v>
      </x:c>
      <x:c r="B10" s="70" t="str">
        <x:v>Official manufacturer PDF</x:v>
      </x:c>
      <x:c r="C10" s="70" t="str">
        <x:v>Cruise SFC and engine-level performance summary</x:v>
      </x:c>
      <x:c r="D10" s="70" t="str">
        <x:v>datasheet-CF34-10E.pdf</x:v>
      </x:c>
      <x:c r="E10" s="71" t="str">
        <x:v>https://www.geaerospace.com/sites/default/files/datasheet-CF34-10E.pdf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55d10a4b77a45e5"/>
  </x:tableParts>
</x:worksheet>
</file>